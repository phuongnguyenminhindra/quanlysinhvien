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tinhocdaicuong\"/>
    </mc:Choice>
  </mc:AlternateContent>
  <xr:revisionPtr revIDLastSave="0" documentId="13_ncr:1_{F8726BC5-E601-4FAB-8C2D-76B75CC1CB5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rang_tí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4" i="1"/>
  <c r="G4" i="1"/>
  <c r="F30" i="1"/>
  <c r="E30" i="1"/>
  <c r="G28" i="1"/>
  <c r="G27" i="1"/>
  <c r="I27" i="1" s="1"/>
  <c r="G26" i="1"/>
  <c r="G25" i="1"/>
  <c r="G24" i="1"/>
  <c r="I24" i="1" s="1"/>
  <c r="G23" i="1"/>
  <c r="G22" i="1"/>
  <c r="G21" i="1"/>
  <c r="I21" i="1" s="1"/>
  <c r="G20" i="1"/>
  <c r="G19" i="1"/>
  <c r="G18" i="1"/>
  <c r="I18" i="1" s="1"/>
  <c r="G17" i="1"/>
  <c r="G16" i="1"/>
  <c r="G15" i="1"/>
  <c r="I15" i="1" s="1"/>
  <c r="G14" i="1"/>
  <c r="G13" i="1"/>
  <c r="G12" i="1"/>
  <c r="I12" i="1" s="1"/>
  <c r="G11" i="1"/>
  <c r="G10" i="1"/>
  <c r="G9" i="1"/>
  <c r="I9" i="1" s="1"/>
  <c r="G8" i="1"/>
  <c r="G30" i="1" s="1"/>
  <c r="G7" i="1"/>
  <c r="G6" i="1"/>
  <c r="I6" i="1" s="1"/>
  <c r="G5" i="1"/>
  <c r="H4" i="1" l="1"/>
  <c r="H7" i="1"/>
  <c r="H10" i="1"/>
  <c r="H13" i="1"/>
  <c r="H16" i="1"/>
  <c r="H19" i="1"/>
  <c r="H22" i="1"/>
  <c r="H25" i="1"/>
  <c r="H28" i="1"/>
  <c r="I4" i="1"/>
  <c r="I7" i="1"/>
  <c r="I10" i="1"/>
  <c r="I13" i="1"/>
  <c r="I16" i="1"/>
  <c r="I19" i="1"/>
  <c r="I22" i="1"/>
  <c r="I25" i="1"/>
  <c r="I28" i="1"/>
  <c r="H5" i="1"/>
  <c r="H8" i="1"/>
  <c r="H11" i="1"/>
  <c r="H14" i="1"/>
  <c r="H17" i="1"/>
  <c r="H20" i="1"/>
  <c r="H23" i="1"/>
  <c r="H26" i="1"/>
  <c r="I5" i="1"/>
  <c r="I8" i="1"/>
  <c r="I11" i="1"/>
  <c r="I14" i="1"/>
  <c r="I17" i="1"/>
  <c r="I20" i="1"/>
  <c r="I23" i="1"/>
  <c r="I26" i="1"/>
  <c r="H6" i="1"/>
  <c r="H9" i="1"/>
  <c r="H12" i="1"/>
  <c r="H15" i="1"/>
  <c r="H18" i="1"/>
  <c r="H21" i="1"/>
  <c r="H24" i="1"/>
  <c r="H27" i="1"/>
  <c r="J35" i="1" l="1"/>
  <c r="H30" i="1"/>
  <c r="I30" i="1"/>
  <c r="J30" i="1" l="1"/>
  <c r="J32" i="1"/>
  <c r="J33" i="1"/>
  <c r="J34" i="1"/>
</calcChain>
</file>

<file path=xl/sharedStrings.xml><?xml version="1.0" encoding="utf-8"?>
<sst xmlns="http://schemas.openxmlformats.org/spreadsheetml/2006/main" count="66" uniqueCount="52">
  <si>
    <t>BẢNG LƯƠNG THÁNG 9 NĂM 2022</t>
  </si>
  <si>
    <t>TT</t>
  </si>
  <si>
    <t>Mã nhân viên</t>
  </si>
  <si>
    <t>Họ và tên</t>
  </si>
  <si>
    <t>Chức danh</t>
  </si>
  <si>
    <t>Lương
(theo hợp đồng)</t>
  </si>
  <si>
    <t>Số ngày
công</t>
  </si>
  <si>
    <t>Lương
(theo ngày
công)</t>
  </si>
  <si>
    <t>Thuế</t>
  </si>
  <si>
    <t>Tiền trích đưa
vào quỹ liên
hoan</t>
  </si>
  <si>
    <t>Số tiền cần
chuyển khoản
cho nhân viên</t>
  </si>
  <si>
    <t>Đặng Trường Vũ</t>
  </si>
  <si>
    <t>NV kế toán</t>
  </si>
  <si>
    <t>Đào Duy Bảo</t>
  </si>
  <si>
    <t>Trưởng nhóm</t>
  </si>
  <si>
    <t>Đào Trần Nhật Anh</t>
  </si>
  <si>
    <t>Đào Trần Nhật Linh</t>
  </si>
  <si>
    <t>NV partime</t>
  </si>
  <si>
    <t>Đỗ Kim Giang</t>
  </si>
  <si>
    <t>Đoàn Hiên Nhi</t>
  </si>
  <si>
    <t>NV hành chính</t>
  </si>
  <si>
    <t>Đoàn Thăng Long</t>
  </si>
  <si>
    <t>NV MKT</t>
  </si>
  <si>
    <t>Dương Trà My</t>
  </si>
  <si>
    <t>Lê Hoàng Sơn</t>
  </si>
  <si>
    <t>NV lao công</t>
  </si>
  <si>
    <t>Ngô Đăng Mạnh Quân</t>
  </si>
  <si>
    <t>Giám đốc</t>
  </si>
  <si>
    <t>Ngô Gia Bảo</t>
  </si>
  <si>
    <t>Nguyễn Anh Khoa</t>
  </si>
  <si>
    <t>Nguyễn Diệp Anh</t>
  </si>
  <si>
    <t>NV nhân sự</t>
  </si>
  <si>
    <t>Nguyễn Duy Hoàng Hải</t>
  </si>
  <si>
    <t>Nguyễn Hữu Đông</t>
  </si>
  <si>
    <t>Nguyễn Minh Sơn</t>
  </si>
  <si>
    <t>Nguyễn Quốc Việt</t>
  </si>
  <si>
    <t>Nguyễn Quỳnh Giang</t>
  </si>
  <si>
    <t>Nguyễn Tiến Anh</t>
  </si>
  <si>
    <t>Nguyễn Trung Anh</t>
  </si>
  <si>
    <t>NV nhân sự-tuyển</t>
  </si>
  <si>
    <t>Nguyễn Việt Anh</t>
  </si>
  <si>
    <t>NV CSKH</t>
  </si>
  <si>
    <t>Nguyễn Xuân Lĩnh</t>
  </si>
  <si>
    <t>Phó GĐ-Trưởng P</t>
  </si>
  <si>
    <t>Phạm Huy Tùng</t>
  </si>
  <si>
    <t>Trần Khánh Hưng</t>
  </si>
  <si>
    <t>TỔNG</t>
  </si>
  <si>
    <t>Số tiền trung bình phải chuyển khoản cho mỗi nhân viên</t>
  </si>
  <si>
    <t>Số tài khoản sẽ nhận được trên 5000000</t>
  </si>
  <si>
    <t>Số tiền cần chuyển khoản lớn nhất</t>
  </si>
  <si>
    <t>Số tiền cần chuyển khoản nhỏ nhất</t>
  </si>
  <si>
    <t>Trần Minh Đăng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</si>
</sst>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#,##0\ &quot;₫&quot;"/>
  </numFmts>
  <fonts count="4">
    <font>
      <sz val="11"/>
      <name val="Aptos Narrow"/>
      <scheme val="minor"/>
    </font>
    <font>
      <b/>
      <sz val="20"/>
      <name val="Aptos Narrow"/>
    </font>
    <font>
      <b/>
      <sz val="11"/>
      <name val="Aptos Narrow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/>
    <xf numFmtId="3" fontId="3" fillId="0" borderId="1" xfId="0" applyNumberFormat="1" applyFont="1" applyBorder="1"/>
    <xf numFmtId="164" fontId="3" fillId="0" borderId="1" xfId="0" applyNumberFormat="1" applyFont="1" applyBorder="1"/>
    <xf numFmtId="0" fontId="2" fillId="0" borderId="0" xfId="0" applyFont="1"/>
    <xf numFmtId="165" fontId="3" fillId="0" borderId="1" xfId="0" applyNumberFormat="1" applyFont="1" applyBorder="1"/>
    <xf numFmtId="166" fontId="3" fillId="0" borderId="0" xfId="0" applyNumberFormat="1" applyFont="1"/>
    <xf numFmtId="3" fontId="3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workbookViewId="0">
      <selection activeCell="J32" sqref="J32"/>
    </sheetView>
  </sheetViews>
  <sheetFormatPr defaultColWidth="14.44140625" defaultRowHeight="15" customHeight="1"/>
  <cols>
    <col min="1" max="1" width="3" customWidth="1"/>
    <col min="2" max="2" width="12.6640625" customWidth="1"/>
    <col min="3" max="3" width="21.109375" customWidth="1"/>
    <col min="4" max="4" width="16.6640625" customWidth="1"/>
    <col min="5" max="5" width="12.33203125" customWidth="1"/>
    <col min="6" max="6" width="7.33203125" customWidth="1"/>
    <col min="7" max="7" width="12.33203125" customWidth="1"/>
    <col min="8" max="8" width="11.33203125" customWidth="1"/>
    <col min="9" max="9" width="11.6640625" customWidth="1"/>
    <col min="10" max="10" width="12.33203125" customWidth="1"/>
    <col min="11" max="11" width="8.6640625" customWidth="1"/>
  </cols>
  <sheetData>
    <row r="1" spans="1:10" ht="14.4">
      <c r="C1" s="10" t="s">
        <v>0</v>
      </c>
      <c r="D1" s="11"/>
      <c r="E1" s="11"/>
      <c r="F1" s="11"/>
      <c r="G1" s="11"/>
      <c r="H1" s="11"/>
    </row>
    <row r="2" spans="1:10" ht="15" customHeight="1">
      <c r="C2" s="11"/>
      <c r="D2" s="11"/>
      <c r="E2" s="11"/>
      <c r="F2" s="11"/>
      <c r="G2" s="11"/>
      <c r="H2" s="11"/>
    </row>
    <row r="3" spans="1:10" ht="57.6">
      <c r="A3" s="1" t="s">
        <v>1</v>
      </c>
      <c r="B3" s="1" t="s">
        <v>2</v>
      </c>
      <c r="C3" s="1" t="s">
        <v>3</v>
      </c>
      <c r="D3" s="1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ht="14.4">
      <c r="A4" s="3">
        <v>1</v>
      </c>
      <c r="B4" s="3">
        <v>4449</v>
      </c>
      <c r="C4" s="3" t="s">
        <v>11</v>
      </c>
      <c r="D4" s="3" t="s">
        <v>12</v>
      </c>
      <c r="E4" s="4">
        <v>8213000</v>
      </c>
      <c r="F4" s="5">
        <v>23.5</v>
      </c>
      <c r="G4" s="4">
        <f t="shared" ref="G4:G28" si="0">(E4 / 25) * F4</f>
        <v>7720220</v>
      </c>
      <c r="H4" s="4">
        <f t="shared" ref="H4:H28" si="1">G4*10%</f>
        <v>772022</v>
      </c>
      <c r="I4" s="4">
        <f t="shared" ref="I4:I28" si="2">IF(G4 &gt; 20000000, G4 * 10%, G4 * 5%)</f>
        <v>386011</v>
      </c>
      <c r="J4" s="4">
        <f>G4-H4-I4</f>
        <v>6562187</v>
      </c>
    </row>
    <row r="5" spans="1:10" ht="14.4">
      <c r="A5" s="3">
        <v>2</v>
      </c>
      <c r="B5" s="3">
        <v>4432</v>
      </c>
      <c r="C5" s="3" t="s">
        <v>13</v>
      </c>
      <c r="D5" s="3" t="s">
        <v>14</v>
      </c>
      <c r="E5" s="4">
        <v>2150000</v>
      </c>
      <c r="F5" s="5">
        <v>24</v>
      </c>
      <c r="G5" s="4">
        <f t="shared" si="0"/>
        <v>2064000</v>
      </c>
      <c r="H5" s="4">
        <f t="shared" si="1"/>
        <v>206400</v>
      </c>
      <c r="I5" s="4">
        <f t="shared" si="2"/>
        <v>103200</v>
      </c>
      <c r="J5" s="4">
        <f t="shared" ref="J5:J28" si="3">G5-H5-I5</f>
        <v>1754400</v>
      </c>
    </row>
    <row r="6" spans="1:10" ht="14.4">
      <c r="A6" s="3">
        <v>3</v>
      </c>
      <c r="B6" s="3">
        <v>4451</v>
      </c>
      <c r="C6" s="3" t="s">
        <v>15</v>
      </c>
      <c r="D6" s="3" t="s">
        <v>12</v>
      </c>
      <c r="E6" s="4">
        <v>5891000</v>
      </c>
      <c r="F6" s="5">
        <v>23</v>
      </c>
      <c r="G6" s="4">
        <f t="shared" si="0"/>
        <v>5419720</v>
      </c>
      <c r="H6" s="4">
        <f t="shared" si="1"/>
        <v>541972</v>
      </c>
      <c r="I6" s="4">
        <f t="shared" si="2"/>
        <v>270986</v>
      </c>
      <c r="J6" s="4">
        <f t="shared" si="3"/>
        <v>4606762</v>
      </c>
    </row>
    <row r="7" spans="1:10" ht="14.4">
      <c r="A7" s="3">
        <v>4</v>
      </c>
      <c r="B7" s="3">
        <v>4437</v>
      </c>
      <c r="C7" s="3" t="s">
        <v>16</v>
      </c>
      <c r="D7" s="3" t="s">
        <v>17</v>
      </c>
      <c r="E7" s="4">
        <v>1500000</v>
      </c>
      <c r="F7" s="5">
        <v>25</v>
      </c>
      <c r="G7" s="4">
        <f t="shared" si="0"/>
        <v>1500000</v>
      </c>
      <c r="H7" s="4">
        <f t="shared" si="1"/>
        <v>150000</v>
      </c>
      <c r="I7" s="4">
        <f t="shared" si="2"/>
        <v>75000</v>
      </c>
      <c r="J7" s="4">
        <f t="shared" si="3"/>
        <v>1275000</v>
      </c>
    </row>
    <row r="8" spans="1:10" ht="14.4">
      <c r="A8" s="3">
        <v>5</v>
      </c>
      <c r="B8" s="3">
        <v>4450</v>
      </c>
      <c r="C8" s="3" t="s">
        <v>18</v>
      </c>
      <c r="D8" s="3" t="s">
        <v>12</v>
      </c>
      <c r="E8" s="4">
        <v>6000000</v>
      </c>
      <c r="F8" s="5">
        <v>23.5</v>
      </c>
      <c r="G8" s="4">
        <f t="shared" si="0"/>
        <v>5640000</v>
      </c>
      <c r="H8" s="4">
        <f t="shared" si="1"/>
        <v>564000</v>
      </c>
      <c r="I8" s="4">
        <f t="shared" si="2"/>
        <v>282000</v>
      </c>
      <c r="J8" s="4">
        <f t="shared" si="3"/>
        <v>4794000</v>
      </c>
    </row>
    <row r="9" spans="1:10" ht="14.4">
      <c r="A9" s="3">
        <v>6</v>
      </c>
      <c r="B9" s="3">
        <v>4441</v>
      </c>
      <c r="C9" s="3" t="s">
        <v>19</v>
      </c>
      <c r="D9" s="3" t="s">
        <v>20</v>
      </c>
      <c r="E9" s="4">
        <v>6966000</v>
      </c>
      <c r="F9" s="5">
        <v>23.5</v>
      </c>
      <c r="G9" s="4">
        <f t="shared" si="0"/>
        <v>6548040</v>
      </c>
      <c r="H9" s="4">
        <f t="shared" si="1"/>
        <v>654804</v>
      </c>
      <c r="I9" s="4">
        <f t="shared" si="2"/>
        <v>327402</v>
      </c>
      <c r="J9" s="4">
        <f t="shared" si="3"/>
        <v>5565834</v>
      </c>
    </row>
    <row r="10" spans="1:10" ht="14.4">
      <c r="A10" s="3">
        <v>7</v>
      </c>
      <c r="B10" s="3">
        <v>4440</v>
      </c>
      <c r="C10" s="3" t="s">
        <v>21</v>
      </c>
      <c r="D10" s="3" t="s">
        <v>22</v>
      </c>
      <c r="E10" s="4">
        <v>5418000</v>
      </c>
      <c r="F10" s="5">
        <v>23</v>
      </c>
      <c r="G10" s="4">
        <f t="shared" si="0"/>
        <v>4984560</v>
      </c>
      <c r="H10" s="4">
        <f t="shared" si="1"/>
        <v>498456</v>
      </c>
      <c r="I10" s="4">
        <f t="shared" si="2"/>
        <v>249228</v>
      </c>
      <c r="J10" s="4">
        <f t="shared" si="3"/>
        <v>4236876</v>
      </c>
    </row>
    <row r="11" spans="1:10" ht="14.4">
      <c r="A11" s="3">
        <v>8</v>
      </c>
      <c r="B11" s="3">
        <v>4433</v>
      </c>
      <c r="C11" s="3" t="s">
        <v>23</v>
      </c>
      <c r="D11" s="3" t="s">
        <v>14</v>
      </c>
      <c r="E11" s="4">
        <v>2150000</v>
      </c>
      <c r="F11" s="5">
        <v>24</v>
      </c>
      <c r="G11" s="4">
        <f t="shared" si="0"/>
        <v>2064000</v>
      </c>
      <c r="H11" s="4">
        <f t="shared" si="1"/>
        <v>206400</v>
      </c>
      <c r="I11" s="4">
        <f t="shared" si="2"/>
        <v>103200</v>
      </c>
      <c r="J11" s="4">
        <f t="shared" si="3"/>
        <v>1754400</v>
      </c>
    </row>
    <row r="12" spans="1:10" ht="14.4">
      <c r="A12" s="3">
        <v>9</v>
      </c>
      <c r="B12" s="3">
        <v>4447</v>
      </c>
      <c r="C12" s="3" t="s">
        <v>24</v>
      </c>
      <c r="D12" s="3" t="s">
        <v>25</v>
      </c>
      <c r="E12" s="4">
        <v>6966000</v>
      </c>
      <c r="F12" s="5">
        <v>25</v>
      </c>
      <c r="G12" s="4">
        <f t="shared" si="0"/>
        <v>6966000</v>
      </c>
      <c r="H12" s="4">
        <f t="shared" si="1"/>
        <v>696600</v>
      </c>
      <c r="I12" s="4">
        <f t="shared" si="2"/>
        <v>348300</v>
      </c>
      <c r="J12" s="4">
        <f t="shared" si="3"/>
        <v>5921100</v>
      </c>
    </row>
    <row r="13" spans="1:10" ht="14.4">
      <c r="A13" s="3">
        <v>10</v>
      </c>
      <c r="B13" s="3">
        <v>4453</v>
      </c>
      <c r="C13" s="3" t="s">
        <v>26</v>
      </c>
      <c r="D13" s="3" t="s">
        <v>27</v>
      </c>
      <c r="E13" s="4">
        <v>22274000</v>
      </c>
      <c r="F13" s="5">
        <v>24</v>
      </c>
      <c r="G13" s="4">
        <f t="shared" si="0"/>
        <v>21383040</v>
      </c>
      <c r="H13" s="4">
        <f t="shared" si="1"/>
        <v>2138304</v>
      </c>
      <c r="I13" s="4">
        <f t="shared" si="2"/>
        <v>2138304</v>
      </c>
      <c r="J13" s="4">
        <f t="shared" si="3"/>
        <v>17106432</v>
      </c>
    </row>
    <row r="14" spans="1:10" ht="14.4">
      <c r="A14" s="3">
        <v>11</v>
      </c>
      <c r="B14" s="3">
        <v>4446</v>
      </c>
      <c r="C14" s="3" t="s">
        <v>28</v>
      </c>
      <c r="D14" s="3" t="s">
        <v>20</v>
      </c>
      <c r="E14" s="4">
        <v>7568000</v>
      </c>
      <c r="F14" s="5">
        <v>23.5</v>
      </c>
      <c r="G14" s="4">
        <f t="shared" si="0"/>
        <v>7113920</v>
      </c>
      <c r="H14" s="4">
        <f t="shared" si="1"/>
        <v>711392</v>
      </c>
      <c r="I14" s="4">
        <f t="shared" si="2"/>
        <v>355696</v>
      </c>
      <c r="J14" s="4">
        <f t="shared" si="3"/>
        <v>6046832</v>
      </c>
    </row>
    <row r="15" spans="1:10" ht="14.4">
      <c r="A15" s="3">
        <v>12</v>
      </c>
      <c r="B15" s="3">
        <v>4431</v>
      </c>
      <c r="C15" s="3" t="s">
        <v>29</v>
      </c>
      <c r="D15" s="3" t="s">
        <v>14</v>
      </c>
      <c r="E15" s="4">
        <v>2150000</v>
      </c>
      <c r="F15" s="5">
        <v>24</v>
      </c>
      <c r="G15" s="4">
        <f t="shared" si="0"/>
        <v>2064000</v>
      </c>
      <c r="H15" s="4">
        <f t="shared" si="1"/>
        <v>206400</v>
      </c>
      <c r="I15" s="4">
        <f t="shared" si="2"/>
        <v>103200</v>
      </c>
      <c r="J15" s="4">
        <f t="shared" si="3"/>
        <v>1754400</v>
      </c>
    </row>
    <row r="16" spans="1:10" ht="14.4">
      <c r="A16" s="3">
        <v>13</v>
      </c>
      <c r="B16" s="3">
        <v>4443</v>
      </c>
      <c r="C16" s="3" t="s">
        <v>30</v>
      </c>
      <c r="D16" s="3" t="s">
        <v>31</v>
      </c>
      <c r="E16" s="4">
        <v>6407000</v>
      </c>
      <c r="F16" s="5">
        <v>22</v>
      </c>
      <c r="G16" s="4">
        <f t="shared" si="0"/>
        <v>5638160</v>
      </c>
      <c r="H16" s="4">
        <f t="shared" si="1"/>
        <v>563816</v>
      </c>
      <c r="I16" s="4">
        <f t="shared" si="2"/>
        <v>281908</v>
      </c>
      <c r="J16" s="4">
        <f t="shared" si="3"/>
        <v>4792436</v>
      </c>
    </row>
    <row r="17" spans="1:10" ht="14.4">
      <c r="A17" s="3">
        <v>14</v>
      </c>
      <c r="B17" s="3">
        <v>4439</v>
      </c>
      <c r="C17" s="3" t="s">
        <v>32</v>
      </c>
      <c r="D17" s="3" t="s">
        <v>22</v>
      </c>
      <c r="E17" s="4">
        <v>6407000</v>
      </c>
      <c r="F17" s="5">
        <v>22.5</v>
      </c>
      <c r="G17" s="4">
        <f t="shared" si="0"/>
        <v>5766300</v>
      </c>
      <c r="H17" s="4">
        <f t="shared" si="1"/>
        <v>576630</v>
      </c>
      <c r="I17" s="4">
        <f t="shared" si="2"/>
        <v>288315</v>
      </c>
      <c r="J17" s="4">
        <f t="shared" si="3"/>
        <v>4901355</v>
      </c>
    </row>
    <row r="18" spans="1:10" ht="14.4">
      <c r="A18" s="3">
        <v>15</v>
      </c>
      <c r="B18" s="3">
        <v>4435</v>
      </c>
      <c r="C18" s="3" t="s">
        <v>33</v>
      </c>
      <c r="D18" s="3" t="s">
        <v>14</v>
      </c>
      <c r="E18" s="4">
        <v>2365000</v>
      </c>
      <c r="F18" s="5">
        <v>24</v>
      </c>
      <c r="G18" s="4">
        <f t="shared" si="0"/>
        <v>2270400</v>
      </c>
      <c r="H18" s="4">
        <f t="shared" si="1"/>
        <v>227040</v>
      </c>
      <c r="I18" s="4">
        <f t="shared" si="2"/>
        <v>113520</v>
      </c>
      <c r="J18" s="4">
        <f t="shared" si="3"/>
        <v>1929840</v>
      </c>
    </row>
    <row r="19" spans="1:10" ht="14.4">
      <c r="A19" s="3">
        <v>16</v>
      </c>
      <c r="B19" s="3">
        <v>4452</v>
      </c>
      <c r="C19" s="3" t="s">
        <v>34</v>
      </c>
      <c r="D19" s="3" t="s">
        <v>12</v>
      </c>
      <c r="E19" s="4">
        <v>6407000</v>
      </c>
      <c r="F19" s="5">
        <v>23.5</v>
      </c>
      <c r="G19" s="4">
        <f t="shared" si="0"/>
        <v>6022580</v>
      </c>
      <c r="H19" s="4">
        <f t="shared" si="1"/>
        <v>602258</v>
      </c>
      <c r="I19" s="4">
        <f t="shared" si="2"/>
        <v>301129</v>
      </c>
      <c r="J19" s="4">
        <f t="shared" si="3"/>
        <v>5119193</v>
      </c>
    </row>
    <row r="20" spans="1:10" ht="14.4">
      <c r="A20" s="3">
        <v>17</v>
      </c>
      <c r="B20" s="3">
        <v>4444</v>
      </c>
      <c r="C20" s="3" t="s">
        <v>35</v>
      </c>
      <c r="D20" s="3" t="s">
        <v>31</v>
      </c>
      <c r="E20" s="4">
        <v>5891000</v>
      </c>
      <c r="F20" s="5">
        <v>23.5</v>
      </c>
      <c r="G20" s="4">
        <f t="shared" si="0"/>
        <v>5537540</v>
      </c>
      <c r="H20" s="4">
        <f t="shared" si="1"/>
        <v>553754</v>
      </c>
      <c r="I20" s="4">
        <f t="shared" si="2"/>
        <v>276877</v>
      </c>
      <c r="J20" s="4">
        <f t="shared" si="3"/>
        <v>4706909</v>
      </c>
    </row>
    <row r="21" spans="1:10" ht="15.75" customHeight="1">
      <c r="A21" s="3">
        <v>18</v>
      </c>
      <c r="B21" s="3">
        <v>4434</v>
      </c>
      <c r="C21" s="3" t="s">
        <v>36</v>
      </c>
      <c r="D21" s="3" t="s">
        <v>14</v>
      </c>
      <c r="E21" s="4">
        <v>2150000</v>
      </c>
      <c r="F21" s="5">
        <v>24</v>
      </c>
      <c r="G21" s="4">
        <f t="shared" si="0"/>
        <v>2064000</v>
      </c>
      <c r="H21" s="4">
        <f t="shared" si="1"/>
        <v>206400</v>
      </c>
      <c r="I21" s="4">
        <f t="shared" si="2"/>
        <v>103200</v>
      </c>
      <c r="J21" s="4">
        <f t="shared" si="3"/>
        <v>1754400</v>
      </c>
    </row>
    <row r="22" spans="1:10" ht="15.75" customHeight="1">
      <c r="A22" s="3">
        <v>19</v>
      </c>
      <c r="B22" s="3">
        <v>4436</v>
      </c>
      <c r="C22" s="3" t="s">
        <v>37</v>
      </c>
      <c r="D22" s="3" t="s">
        <v>17</v>
      </c>
      <c r="E22" s="4">
        <v>1500000</v>
      </c>
      <c r="F22" s="5">
        <v>24</v>
      </c>
      <c r="G22" s="4">
        <f t="shared" si="0"/>
        <v>1440000</v>
      </c>
      <c r="H22" s="4">
        <f t="shared" si="1"/>
        <v>144000</v>
      </c>
      <c r="I22" s="4">
        <f t="shared" si="2"/>
        <v>72000</v>
      </c>
      <c r="J22" s="4">
        <f t="shared" si="3"/>
        <v>1224000</v>
      </c>
    </row>
    <row r="23" spans="1:10" ht="15.75" customHeight="1">
      <c r="A23" s="3">
        <v>20</v>
      </c>
      <c r="B23" s="3">
        <v>4445</v>
      </c>
      <c r="C23" s="3" t="s">
        <v>38</v>
      </c>
      <c r="D23" s="3" t="s">
        <v>39</v>
      </c>
      <c r="E23" s="4">
        <v>6966000</v>
      </c>
      <c r="F23" s="5">
        <v>23.5</v>
      </c>
      <c r="G23" s="4">
        <f t="shared" si="0"/>
        <v>6548040</v>
      </c>
      <c r="H23" s="4">
        <f t="shared" si="1"/>
        <v>654804</v>
      </c>
      <c r="I23" s="4">
        <f t="shared" si="2"/>
        <v>327402</v>
      </c>
      <c r="J23" s="4">
        <f t="shared" si="3"/>
        <v>5565834</v>
      </c>
    </row>
    <row r="24" spans="1:10" ht="15.75" customHeight="1">
      <c r="A24" s="3">
        <v>21</v>
      </c>
      <c r="B24" s="3">
        <v>4438</v>
      </c>
      <c r="C24" s="3" t="s">
        <v>40</v>
      </c>
      <c r="D24" s="3" t="s">
        <v>41</v>
      </c>
      <c r="E24" s="4">
        <v>5418000</v>
      </c>
      <c r="F24" s="5">
        <v>24</v>
      </c>
      <c r="G24" s="4">
        <f t="shared" si="0"/>
        <v>5201280</v>
      </c>
      <c r="H24" s="4">
        <f t="shared" si="1"/>
        <v>520128</v>
      </c>
      <c r="I24" s="4">
        <f t="shared" si="2"/>
        <v>260064</v>
      </c>
      <c r="J24" s="4">
        <f t="shared" si="3"/>
        <v>4421088</v>
      </c>
    </row>
    <row r="25" spans="1:10" ht="15.75" customHeight="1">
      <c r="A25" s="3">
        <v>22</v>
      </c>
      <c r="B25" s="3">
        <v>4464</v>
      </c>
      <c r="C25" s="3" t="s">
        <v>42</v>
      </c>
      <c r="D25" s="3" t="s">
        <v>43</v>
      </c>
      <c r="E25" s="4">
        <v>18576000</v>
      </c>
      <c r="F25" s="5">
        <v>24</v>
      </c>
      <c r="G25" s="4">
        <f t="shared" si="0"/>
        <v>17832960</v>
      </c>
      <c r="H25" s="4">
        <f t="shared" si="1"/>
        <v>1783296</v>
      </c>
      <c r="I25" s="4">
        <f t="shared" si="2"/>
        <v>891648</v>
      </c>
      <c r="J25" s="4">
        <f t="shared" si="3"/>
        <v>15158016</v>
      </c>
    </row>
    <row r="26" spans="1:10" ht="15.75" customHeight="1">
      <c r="A26" s="3">
        <v>23</v>
      </c>
      <c r="B26" s="3">
        <v>4442</v>
      </c>
      <c r="C26" s="3" t="s">
        <v>44</v>
      </c>
      <c r="D26" s="3" t="s">
        <v>20</v>
      </c>
      <c r="E26" s="4">
        <v>5891000</v>
      </c>
      <c r="F26" s="5">
        <v>23.5</v>
      </c>
      <c r="G26" s="4">
        <f t="shared" si="0"/>
        <v>5537540</v>
      </c>
      <c r="H26" s="4">
        <f t="shared" si="1"/>
        <v>553754</v>
      </c>
      <c r="I26" s="4">
        <f t="shared" si="2"/>
        <v>276877</v>
      </c>
      <c r="J26" s="4">
        <f t="shared" si="3"/>
        <v>4706909</v>
      </c>
    </row>
    <row r="27" spans="1:10" ht="15.75" customHeight="1">
      <c r="A27" s="3">
        <v>24</v>
      </c>
      <c r="B27" s="3">
        <v>4430</v>
      </c>
      <c r="C27" s="3" t="s">
        <v>45</v>
      </c>
      <c r="D27" s="3" t="s">
        <v>14</v>
      </c>
      <c r="E27" s="4">
        <v>2150000</v>
      </c>
      <c r="F27" s="5">
        <v>24</v>
      </c>
      <c r="G27" s="4">
        <f t="shared" si="0"/>
        <v>2064000</v>
      </c>
      <c r="H27" s="4">
        <f t="shared" si="1"/>
        <v>206400</v>
      </c>
      <c r="I27" s="4">
        <f t="shared" si="2"/>
        <v>103200</v>
      </c>
      <c r="J27" s="4">
        <f t="shared" si="3"/>
        <v>1754400</v>
      </c>
    </row>
    <row r="28" spans="1:10" ht="15.75" customHeight="1">
      <c r="A28" s="3">
        <v>25</v>
      </c>
      <c r="B28" s="3">
        <v>4448</v>
      </c>
      <c r="C28" s="3" t="s">
        <v>51</v>
      </c>
      <c r="D28" s="3" t="s">
        <v>12</v>
      </c>
      <c r="E28" s="4">
        <v>7568000</v>
      </c>
      <c r="F28" s="5">
        <v>23.5</v>
      </c>
      <c r="G28" s="4">
        <f t="shared" si="0"/>
        <v>7113920</v>
      </c>
      <c r="H28" s="4">
        <f t="shared" si="1"/>
        <v>711392</v>
      </c>
      <c r="I28" s="4">
        <f t="shared" si="2"/>
        <v>355696</v>
      </c>
      <c r="J28" s="4">
        <f t="shared" si="3"/>
        <v>6046832</v>
      </c>
    </row>
    <row r="29" spans="1:10" ht="15.75" customHeight="1"/>
    <row r="30" spans="1:10" ht="15.75" customHeight="1">
      <c r="D30" s="6" t="s">
        <v>46</v>
      </c>
      <c r="E30" s="4">
        <f t="shared" ref="E30:J30" si="4">SUM(E4:E28)</f>
        <v>154942000</v>
      </c>
      <c r="F30" s="7">
        <f t="shared" si="4"/>
        <v>592</v>
      </c>
      <c r="G30" s="4">
        <f t="shared" si="4"/>
        <v>146504220</v>
      </c>
      <c r="H30" s="4">
        <f t="shared" si="4"/>
        <v>14650422</v>
      </c>
      <c r="I30" s="4">
        <f t="shared" si="4"/>
        <v>8394363</v>
      </c>
      <c r="J30" s="4">
        <f t="shared" si="4"/>
        <v>123459435</v>
      </c>
    </row>
    <row r="31" spans="1:10" ht="15.75" customHeight="1"/>
    <row r="32" spans="1:10" ht="15.75" customHeight="1">
      <c r="D32" s="12" t="s">
        <v>47</v>
      </c>
      <c r="E32" s="11"/>
      <c r="F32" s="11"/>
      <c r="G32" s="11"/>
      <c r="H32" s="11"/>
      <c r="I32" s="11"/>
      <c r="J32" s="8">
        <f>AVERAGE(J4:J28)</f>
        <v>4938377.4000000004</v>
      </c>
    </row>
    <row r="33" spans="4:10" ht="15.75" customHeight="1">
      <c r="D33" s="12" t="s">
        <v>48</v>
      </c>
      <c r="E33" s="11"/>
      <c r="F33" s="11"/>
      <c r="G33" s="11"/>
      <c r="H33" s="11"/>
      <c r="I33" s="11"/>
      <c r="J33">
        <f>COUNTIF(J4:J28, "&gt;5000000")</f>
        <v>9</v>
      </c>
    </row>
    <row r="34" spans="4:10" ht="15.75" customHeight="1">
      <c r="D34" s="12" t="s">
        <v>49</v>
      </c>
      <c r="E34" s="11"/>
      <c r="F34" s="11"/>
      <c r="G34" s="11"/>
      <c r="H34" s="11"/>
      <c r="I34" s="11"/>
      <c r="J34" s="9">
        <f>MAX(J4:J28)</f>
        <v>17106432</v>
      </c>
    </row>
    <row r="35" spans="4:10" ht="15.75" customHeight="1">
      <c r="D35" s="12" t="s">
        <v>50</v>
      </c>
      <c r="E35" s="11"/>
      <c r="F35" s="11"/>
      <c r="G35" s="11"/>
      <c r="H35" s="11"/>
      <c r="I35" s="11"/>
      <c r="J35" s="9">
        <f>MIN(J4:J28)</f>
        <v>1224000</v>
      </c>
    </row>
    <row r="36" spans="4:10" ht="15.75" customHeight="1"/>
    <row r="37" spans="4:10" ht="15.75" customHeight="1"/>
    <row r="38" spans="4:10" ht="15.75" customHeight="1"/>
    <row r="39" spans="4:10" ht="15.75" customHeight="1"/>
    <row r="40" spans="4:10" ht="15.75" customHeight="1"/>
    <row r="41" spans="4:10" ht="15.75" customHeight="1"/>
    <row r="42" spans="4:10" ht="15.75" customHeight="1"/>
    <row r="43" spans="4:10" ht="15.75" customHeight="1"/>
    <row r="44" spans="4:10" ht="15.75" customHeight="1"/>
    <row r="45" spans="4:10" ht="15.75" customHeight="1"/>
    <row r="46" spans="4:10" ht="15.75" customHeight="1"/>
    <row r="47" spans="4:10" ht="15.75" customHeight="1"/>
    <row r="48" spans="4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">
    <mergeCell ref="C1:H2"/>
    <mergeCell ref="D32:I32"/>
    <mergeCell ref="D33:I33"/>
    <mergeCell ref="D34:I34"/>
    <mergeCell ref="D35:I35"/>
  </mergeCells>
  <pageMargins left="0.7" right="0.7" top="0.75" bottom="0.7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Nguyễn</dc:creator>
  <cp:lastModifiedBy>Nguyen Minh Phuong 202514334</cp:lastModifiedBy>
  <dcterms:created xsi:type="dcterms:W3CDTF">2026-04-13T22:24:42Z</dcterms:created>
  <dcterms:modified xsi:type="dcterms:W3CDTF">2026-05-29T02:38:13Z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0x0101000C57BE6971ABA1498F3B2E16C3EC78F6</vt:lpwstr>
  </property>
</Properties>
</file>